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09"/>
  <workbookPr/>
  <mc:AlternateContent xmlns:mc="http://schemas.openxmlformats.org/markup-compatibility/2006">
    <mc:Choice Requires="x15">
      <x15ac:absPath xmlns:x15ac="http://schemas.microsoft.com/office/spreadsheetml/2010/11/ac" url="C:\Users\kathytse\Downloads\"/>
    </mc:Choice>
  </mc:AlternateContent>
  <xr:revisionPtr revIDLastSave="51" documentId="13_ncr:1_{E75BB07B-A7DA-49F2-BA56-16E420FC24CB}" xr6:coauthVersionLast="47" xr6:coauthVersionMax="47" xr10:uidLastSave="{F95A91DF-C6B0-41C0-9438-4FA7887C3E48}"/>
  <bookViews>
    <workbookView xWindow="-120" yWindow="-16320" windowWidth="29040" windowHeight="15840" xr2:uid="{7B23B0DC-5DB7-490D-BC5D-9132BF42CA42}"/>
  </bookViews>
  <sheets>
    <sheet name="Job Descriptions" sheetId="1" r:id="rId1"/>
  </sheets>
  <definedNames>
    <definedName name="_xlnm._FilterDatabase" localSheetId="0" hidden="1">'Job Descriptions'!$A$5:$J$30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1" l="1"/>
  <c r="A13" i="1"/>
  <c r="A30" i="1"/>
  <c r="A29" i="1"/>
  <c r="A24" i="1"/>
  <c r="A22" i="1"/>
  <c r="A17" i="1"/>
  <c r="A18" i="1"/>
  <c r="A19" i="1"/>
  <c r="A20" i="1"/>
  <c r="A21" i="1"/>
  <c r="A23" i="1"/>
  <c r="A25" i="1"/>
  <c r="A26" i="1"/>
  <c r="A27" i="1"/>
  <c r="A28" i="1"/>
  <c r="A10" i="1"/>
  <c r="A11" i="1"/>
  <c r="A12" i="1"/>
  <c r="A14" i="1"/>
  <c r="A15" i="1"/>
  <c r="A16" i="1"/>
  <c r="A8" i="1"/>
  <c r="A9" i="1"/>
  <c r="A7" i="1"/>
</calcChain>
</file>

<file path=xl/sharedStrings.xml><?xml version="1.0" encoding="utf-8"?>
<sst xmlns="http://schemas.openxmlformats.org/spreadsheetml/2006/main" count="203" uniqueCount="123">
  <si>
    <t>Hong Kong Baptist University (HKBU) Physical Career Fair 2025 - Job Description</t>
  </si>
  <si>
    <t>Company Name: Swire Hotels</t>
  </si>
  <si>
    <t>No.</t>
    <phoneticPr fontId="1" type="noConversion"/>
  </si>
  <si>
    <t>Job Title</t>
    <phoneticPr fontId="1" type="noConversion"/>
  </si>
  <si>
    <t>Department</t>
    <phoneticPr fontId="1" type="noConversion"/>
  </si>
  <si>
    <t>Job Description</t>
  </si>
  <si>
    <t xml:space="preserve">Key Responsibilities </t>
  </si>
  <si>
    <t>Qualifications / 
Required or Preferred Skills</t>
  </si>
  <si>
    <t>Work location</t>
    <phoneticPr fontId="1" type="noConversion"/>
  </si>
  <si>
    <t>Work Type</t>
  </si>
  <si>
    <t>Additional Information, if any</t>
  </si>
  <si>
    <t>No. of Vacancies</t>
    <phoneticPr fontId="1" type="noConversion"/>
  </si>
  <si>
    <t>Finance Intern
(Central Support Office)</t>
  </si>
  <si>
    <t>Finance</t>
  </si>
  <si>
    <t>This role supports the Finance team in maintaining smooth financial operations from our Central Support Office. We assist with maintaining business records, verifying invoices and statements, and performing financial analyses with data across Swire Hotels. This role is ideal for individuals who are meticulous, value hands-on experiences, and thrive in a fast-paced and dynamic environment. </t>
  </si>
  <si>
    <t xml:space="preserve">- Maintain accurate and timely financial &amp; operating information Assist the Accountant in daily accounting operations 
- Assist in invoices/statements verification 
- Prepare &amp; Create manual and computerised records 
- Contribute to other ad-hoc projects </t>
  </si>
  <si>
    <r>
      <rPr>
        <b/>
        <sz val="12"/>
        <color theme="1"/>
        <rFont val="Times New Roman"/>
      </rPr>
      <t xml:space="preserve">The Non-Negotiables (Must-Haves):  </t>
    </r>
    <r>
      <rPr>
        <sz val="12"/>
        <color theme="1"/>
        <rFont val="Times New Roman"/>
      </rPr>
      <t xml:space="preserve">
'- Undergraduate students from Year 1 to Year 4 
- Strong organizational &amp; communication skills 
- Excellent command in verbal &amp; written English &amp; Cantonese 
- Proficiency in MS Office applications 
</t>
    </r>
    <r>
      <rPr>
        <b/>
        <sz val="12"/>
        <color theme="1"/>
        <rFont val="Times New Roman"/>
      </rPr>
      <t xml:space="preserve">The Cherries on Top (Nice-to-Haves):  </t>
    </r>
    <r>
      <rPr>
        <sz val="12"/>
        <color theme="1"/>
        <rFont val="Times New Roman"/>
      </rPr>
      <t xml:space="preserve">
- Familiar with Excel  
- Enjoy working in a fast-paced &amp; dynamic environment </t>
    </r>
  </si>
  <si>
    <t>Hong Kong</t>
  </si>
  <si>
    <t>Internship</t>
  </si>
  <si>
    <t>- Turn up in smart casual attires and be as ease at work!
- Stagger your working hours and have the flexibility to create a working schedule that fits you!
- Whoosh into the office with ease as it is conveniently located near an MTR station and accessible with public transits!
- Dine at our team dining hall and save on meals!
- Join our wellness programme and healthy pantry to elevate your mental and physical wellbeing!</t>
  </si>
  <si>
    <t>Legal Intern
(Central Support Office)</t>
  </si>
  <si>
    <t xml:space="preserve">This role supports the Legal team and provides business advice based on our legal expertise. We take pleasure in supporting various teams and guiding Swire Hotels in matters of governance, control, and new business expansion initiatives. This role is ideal for individuals who thrive on new challenges and relish the opportunity to play a crucial role in the hospitality industry. </t>
  </si>
  <si>
    <t xml:space="preserve">- Assist in hotel management agreement (HMA) related projects 
- Update our HMA template, including coordinating and organizing comments, drafting, reviewing, translation, formatting, proofreading etc. 
- Update our HMA repository 
- Assist in our HMA ongoing contract negotiations 
- Assist in our Contract AI project </t>
  </si>
  <si>
    <r>
      <rPr>
        <b/>
        <sz val="12"/>
        <color theme="1"/>
        <rFont val="Times New Roman"/>
      </rPr>
      <t xml:space="preserve">The Non-Negotiables (Must-Haves):  
</t>
    </r>
    <r>
      <rPr>
        <sz val="12"/>
        <color theme="1"/>
        <rFont val="Times New Roman"/>
      </rPr>
      <t xml:space="preserve">- University students in Legal or relevant disciplines 
- Strong organizational &amp; communication skills 
- Excellent command in verbal &amp; written English &amp; Cantonese 
- Proficiency in MS Office applications 
</t>
    </r>
    <r>
      <rPr>
        <b/>
        <sz val="12"/>
        <color theme="1"/>
        <rFont val="Times New Roman"/>
      </rPr>
      <t xml:space="preserve">
The Cherries on Top (Nice-to-Haves):
</t>
    </r>
    <r>
      <rPr>
        <sz val="12"/>
        <color theme="1"/>
        <rFont val="Times New Roman"/>
      </rPr>
      <t xml:space="preserve">- Attention to detail, enjoy working in a fast-paced &amp; dynamic environment 
- Familiar with Excel </t>
    </r>
  </si>
  <si>
    <t>Marketing Intern
(Central Support Office)</t>
  </si>
  <si>
    <t>Marketing</t>
  </si>
  <si>
    <t>This role supports the Marketing team to tell captivating stories about our distinctive brands across the complex media and social landscape in ways that are innovative, creative and strategic. We create ways for audiences to find out about and experience our brands even before stepping in, and we collaborate tightly with our properties to bring new creative ideas to life. Those who are curious, creative, proactive, and excited about putting new ideas into action will find this role rewarding.  </t>
  </si>
  <si>
    <t xml:space="preserve">- Liaise with other teams and suppliers so that work is completed within agreed standards and on schedule  
- Assist with any ad hoc Marketing projects and events 
- Respond to enquiries and phone-calls </t>
  </si>
  <si>
    <r>
      <rPr>
        <b/>
        <sz val="12"/>
        <color theme="1"/>
        <rFont val="Times New Roman"/>
      </rPr>
      <t xml:space="preserve">The Non-Negotiables (Must-Haves):  </t>
    </r>
    <r>
      <rPr>
        <sz val="12"/>
        <color theme="1"/>
        <rFont val="Times New Roman"/>
      </rPr>
      <t xml:space="preserve">
- Dynamic and outgoing personality with strong communication and interpersonal skills  
- Detail-oriented, independent, and diligent  
- Excellent command of written and spoken Chinese and English  
</t>
    </r>
    <r>
      <rPr>
        <b/>
        <sz val="12"/>
        <color theme="1"/>
        <rFont val="Times New Roman"/>
      </rPr>
      <t xml:space="preserve">The Cherries on Top (Nice-to-Haves):
</t>
    </r>
    <r>
      <rPr>
        <sz val="12"/>
        <color theme="1"/>
        <rFont val="Times New Roman"/>
      </rPr>
      <t xml:space="preserve">- Fluency in Mandarin in addition to Cantonese  
- Customer-oriented  </t>
    </r>
  </si>
  <si>
    <t>People &amp; Culture Intern
(Central Support Office)</t>
  </si>
  <si>
    <t>People &amp; Culture</t>
  </si>
  <si>
    <t>This role supports a team to create exceptional team experiences, just as Swire Hotels prioritises creating memorable experiences for our guests. Our work enables team members to engage, enjoy and excel at what they do. Those who are passionate about people and like to make a difference will enjoy this role.  </t>
  </si>
  <si>
    <t xml:space="preserve">- Support learning and development activities, such as arranging workshop logistics, managing training administration, training materials translation, training video production and editing 
- Generate and implement ideas for activities in Wellness programme; i.e. wellness workshops, promotion, encourage participation 
- Assist in preparing internal communications and promotional materials such as posters and leaflets 
- Assist in recruitment and employer branding activities such as but not limited to social media platform management, career fair, universities campus talk, etc. 
- Assist to draft weekly posts and generate statistical analysis on social media platforms on LinkedIn 
- Collect data, prepare reports of data results and present findings from a variety of sources including but not limited to employee surveys and compliance 
- Assist in different projects, e.g. team member activities, new joiner experience enhancement, company website, research-based projects, etc. 
- Assist in ad-hoc assignments as required </t>
  </si>
  <si>
    <r>
      <rPr>
        <b/>
        <sz val="12"/>
        <color theme="1"/>
        <rFont val="Times New Roman"/>
      </rPr>
      <t xml:space="preserve">The Non-Negotiables (Must-Haves):  
</t>
    </r>
    <r>
      <rPr>
        <sz val="12"/>
        <color theme="1"/>
        <rFont val="Times New Roman"/>
      </rPr>
      <t xml:space="preserve">- Undergraduate students from Year 1 to Year 4 
- Excellent command in verbal &amp; written English and Chinese 
- Proficiency in MS Office applications 
- Self-starter who is attentive to detail, creative, positive, and open-minded. Strong and flexible team player 
</t>
    </r>
    <r>
      <rPr>
        <b/>
        <sz val="12"/>
        <color theme="1"/>
        <rFont val="Times New Roman"/>
      </rPr>
      <t xml:space="preserve">The Cherries on Top (Nice-to-Haves):
</t>
    </r>
    <r>
      <rPr>
        <sz val="12"/>
        <color theme="1"/>
        <rFont val="Times New Roman"/>
      </rPr>
      <t xml:space="preserve">- Passionate in posters and artwork design, with experience in using graphic design tools such as Canva 
- Familiar with video shooting and editing </t>
    </r>
  </si>
  <si>
    <t>People &amp; Culture Assistant - Total Rewards
(Central Support Office)</t>
  </si>
  <si>
    <t>This role supports the Total Rewards team to design and manage compensation and benefits programs that attract and retain talents. Our work enhances team member engagement and satisfaction while aligning rewards strategies with business goals. Those who have strong analytical and problem solving skills, possess excellent numerical acumen and are attentive to details will enjoy this role. This role will be on a 2-year contract basis.</t>
  </si>
  <si>
    <t>- Support the full spectrum of compensation and benefits functions including salary benchmarking, MPF administration, performance management, and benefits and insurance administration
- Assist in key HR initiatives such as annual salary review and bonus payout exercise, insurance renewals and data analyses
- Contribute to the review of HR policies and guidelines and support enhancements to the Human Resources Information System
- Support recruitment activities and on-boarding process to ensure a smooth integration of new hires
- Provide administrative support to the team to facilitate efficient operations
- Participate in various People &amp; Culture digital transformation projects, system upgrades and other ad-hoc assignments as required</t>
  </si>
  <si>
    <r>
      <rPr>
        <b/>
        <sz val="12"/>
        <color theme="1"/>
        <rFont val="Times New Roman"/>
      </rPr>
      <t>The Non-Negotiables (Must-Haves):</t>
    </r>
    <r>
      <rPr>
        <sz val="12"/>
        <color theme="1"/>
        <rFont val="Times New Roman"/>
      </rPr>
      <t xml:space="preserve">
- 1-2 years of relevant experience in compensation and benefits functions; fresh graduates with high potential will also be considered
- Bachelor’s degree in Human Resources Management or related discipline(s)
- Excellent command of both written and spoken English and Chinese, with proficiency in Mandarin
- Proficient in MS Office and Chinese Word Processing
- Strong team player with a flexible attitude; positive, open-minded, detail-oriented and possesses high learning agility
</t>
    </r>
    <r>
      <rPr>
        <b/>
        <sz val="12"/>
        <color theme="1"/>
        <rFont val="Times New Roman"/>
      </rPr>
      <t>The Cherries on Top (Nice-to-Haves):</t>
    </r>
    <r>
      <rPr>
        <sz val="12"/>
        <color theme="1"/>
        <rFont val="Times New Roman"/>
      </rPr>
      <t xml:space="preserve">
- Familiarity with the Hong Kong Employment Ordinance and other labour legislation; exposure to PRC Labour Law is a plus
- Experience with infographic design software (e.g.: Canva) would be a definite advantage</t>
    </r>
  </si>
  <si>
    <t>Contract</t>
  </si>
  <si>
    <t>Guest Experience Intern
(EAST Hong Kong)</t>
  </si>
  <si>
    <t>Guest Experience</t>
  </si>
  <si>
    <t xml:space="preserve">This role supports the Guest Experience team to create authentic and memorable experiences for our guests that distinguish us from other hotels. We prioritise our guests in every aspect of their journey with us. Those who are passionate about meeting new people, making a spontaneous impression, and think out of the box will enjoy this role. </t>
  </si>
  <si>
    <t>- Verify arrival and departure details and arranges luggage handling and transportation and other services requested by guests
- Deliver and pick up guest baggage as assigned
- Maintain and clean all equipment at Bell services Desk to Maintain a professional image
- Direct incoming guests to the check in area whilst offering to handle any luggage the guest happens to be carrying
- Assists all guests with luggage storage and ensure the proper handling of storage with security procedures followed</t>
  </si>
  <si>
    <r>
      <rPr>
        <b/>
        <sz val="12"/>
        <color theme="1"/>
        <rFont val="Times New Roman"/>
      </rPr>
      <t xml:space="preserve">The Non-Negotiables (Must-Haves): </t>
    </r>
    <r>
      <rPr>
        <sz val="12"/>
        <color theme="1"/>
        <rFont val="Times New Roman"/>
      </rPr>
      <t xml:space="preserve">
- Good command of both written and spoken English, proficient in Cantonese and/or Putonghua would be a definite advantage 
- Detail-oriented, independent and diligent 
- Graduate from technical college or hotel school is preferred 
</t>
    </r>
    <r>
      <rPr>
        <b/>
        <sz val="12"/>
        <color theme="1"/>
        <rFont val="Times New Roman"/>
      </rPr>
      <t xml:space="preserve">The Cherries on Top (Nice-to-Haves): </t>
    </r>
    <r>
      <rPr>
        <sz val="12"/>
        <color theme="1"/>
        <rFont val="Times New Roman"/>
      </rPr>
      <t xml:space="preserve">
- Strong interpersonal and communications skills, outgoing and people orientated 
- Creative, presentable and self-motivated with a fun and positive personality 
 </t>
    </r>
  </si>
  <si>
    <t xml:space="preserve">- Experience our 4.5-day work week, an extra half day each week for you to look after yourself, be healthy and be happy! 
- Speak up &amp; put your own ideas into actions. Think differently!
- Enjoy an appreciative &amp; supportive culture that allows you to be your best self. 
- Be welcomed for the stylish you, if you got accessories, hair dyes or tattoos! 
- Enjoy an annual, paid Well-being Leave, a day for you to look after yourself, be healthy and be happy! 
 </t>
  </si>
  <si>
    <t>Several Vacancies</t>
  </si>
  <si>
    <t>Restaurant &amp; Bar Intern - Sugar
(EAST Hong Kong)</t>
  </si>
  <si>
    <t>Restaurant &amp; Bar</t>
  </si>
  <si>
    <t xml:space="preserve"> 
This role supports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 </t>
  </si>
  <si>
    <t xml:space="preserve">- Work in bar under the direct supervision of a team leader or captain 
- Take responsibility for overall cleanliness and tidiness of the restaurant 
- Ensure all guests are satisfied and served according to hotel standards  
- Handle complaints from guests, and inform management when complaints are given 
- Ensure all customer contact is handled politely and efficiently </t>
  </si>
  <si>
    <r>
      <rPr>
        <b/>
        <sz val="12"/>
        <color theme="1"/>
        <rFont val="Times New Roman"/>
      </rPr>
      <t xml:space="preserve">The Non-Negotiables (Must-Haves): </t>
    </r>
    <r>
      <rPr>
        <sz val="12"/>
        <color theme="1"/>
        <rFont val="Times New Roman"/>
      </rPr>
      <t xml:space="preserve">
- Graduate from hotel school is preferred 
- Good command of both written and spoken English 
- Creative, presentable and self-motivated with a fun and positive personality 
</t>
    </r>
    <r>
      <rPr>
        <b/>
        <sz val="12"/>
        <color theme="1"/>
        <rFont val="Times New Roman"/>
      </rPr>
      <t xml:space="preserve">The Cherries on Top (Nice-to-Haves): </t>
    </r>
    <r>
      <rPr>
        <sz val="12"/>
        <color theme="1"/>
        <rFont val="Times New Roman"/>
      </rPr>
      <t xml:space="preserve">
- Creative, presentable and self-motivated with a fun and positive personality 
- Great team player. Passion for quality in guest services. Enjoy working in a dynamic and creative environment. Very flexible and able to adapt to changing and fast-paced environments </t>
    </r>
  </si>
  <si>
    <t>Restaurant &amp; Bar Intern - FEAST
(EAST Hong Kong)</t>
  </si>
  <si>
    <t xml:space="preserve">This role supports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  </t>
  </si>
  <si>
    <t xml:space="preserve">- Work in a section of the restaurant, including runner and room service 
- Take responsibility for overall cleanliness and tidiness of the restaurant 
- Ensure all guests are satisfied and served according to hotel standards  
- Handle complaints from guests, and inform management when complaints are given 
- Ensure all customer contact is handled politely and efficiently </t>
  </si>
  <si>
    <t>Sales &amp; Marketing Intern 
(EAST Hong Kong)</t>
  </si>
  <si>
    <t>Sales &amp; Marketing</t>
  </si>
  <si>
    <t xml:space="preserve">This role supports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 </t>
  </si>
  <si>
    <t xml:space="preserve">- Complete proposals and confirmation for both Hotel and Residences 
- Prepare all types of correspondence and reports  
- Input and maintain clients database and documents updated and accurate 
- Assist Sales manager to handle sales and leasing enquiries and administration 
- Perform and involve in any sales related assignments as assigned for both Hotel and Residences 
 </t>
  </si>
  <si>
    <r>
      <rPr>
        <b/>
        <sz val="12"/>
        <color theme="1"/>
        <rFont val="Times New Roman"/>
      </rPr>
      <t xml:space="preserve">The Non-Negotiables (Must-Haves): </t>
    </r>
    <r>
      <rPr>
        <sz val="12"/>
        <color theme="1"/>
        <rFont val="Times New Roman"/>
      </rPr>
      <t xml:space="preserve">
- Good command of both written and spoken English, proficient in Cantonese and/or Putonghua would be a definite advantage 
- Strong interpersonal, communication and time management skills 
- Organization skills with a strong attention to details, fully computer literate  
</t>
    </r>
    <r>
      <rPr>
        <b/>
        <sz val="12"/>
        <color theme="1"/>
        <rFont val="Times New Roman"/>
      </rPr>
      <t xml:space="preserve">
The Cherries on Top (Nice-to-Haves): 
</t>
    </r>
    <r>
      <rPr>
        <sz val="12"/>
        <color theme="1"/>
        <rFont val="Times New Roman"/>
      </rPr>
      <t>-Creative, presentable, cheerful &amp; professional manner, outgoing in nature, team player 
- Positive, flexible, creative, presentable and a strong team player</t>
    </r>
  </si>
  <si>
    <t>People &amp; Culture Intern
(EAST Hong Kong)</t>
  </si>
  <si>
    <t xml:space="preserve">This role assists a team in nurturing the wellbeing of our people and ensures that our team members both enjoy and excel in their work. We strive to create a positive work environment where individuals are not only content but also have enriching experiences. We aim to empower our team members to deliver exceptional and genuine experiences to our valued guests. Those who possess a creative, curious, and passionate nature towards people will find great satisfaction in this role. 
 </t>
  </si>
  <si>
    <t xml:space="preserve">- Involve in our recruitment progress, e.g. handling job advertisement, screening applications, arranging interviews and assisting group interviews etc 
- Manage administration on Learning &amp; Development, e.g. taking care of workshop arrangement and logistics, facilitating induction program etc 
- Design &amp; produce internal communication materials e.g. posts, videos, posters etc 
- Assist and support team relations activities, e.g. Annual Dinner, theme lunch, wellness events 
- Handle team members’ enquiries 
- Take up and in-charge of any ad-hoc projects/ events as required </t>
  </si>
  <si>
    <r>
      <rPr>
        <b/>
        <sz val="12"/>
        <color theme="1"/>
        <rFont val="Times New Roman"/>
      </rPr>
      <t xml:space="preserve">The Non-Negotiables (Must-Haves): </t>
    </r>
    <r>
      <rPr>
        <sz val="12"/>
        <color theme="1"/>
        <rFont val="Times New Roman"/>
      </rPr>
      <t xml:space="preserve">
- Degree in Human Resources Management/ Hotel Management or equivalent, or in related disciplines 
- Proficient in MS Office and Chinese Word processing 
- Excellent communication skills in both written and spoken English and Chinese; Knowledge in Photoshop and video editing software 
</t>
    </r>
    <r>
      <rPr>
        <b/>
        <sz val="12"/>
        <color theme="1"/>
        <rFont val="Times New Roman"/>
      </rPr>
      <t xml:space="preserve">The Cherries on Top (Nice-to-Haves): </t>
    </r>
    <r>
      <rPr>
        <sz val="12"/>
        <color theme="1"/>
        <rFont val="Times New Roman"/>
      </rPr>
      <t xml:space="preserve">
- Self-motivated, creative, independent, with multi-tasking capability 
- Very flexible and able to adapt to different situations, taking enjoyment in a fast paced and challenging environment </t>
    </r>
  </si>
  <si>
    <t>Server – FEAST
(EAST Hong Kong)</t>
  </si>
  <si>
    <t xml:space="preserve">- Work in a section of the restaurant, including runner and room service 
- Take responsibility for overall cleanliness and tidiness of the restaurant 
- Ensure all guests are satisfied and served according to hotel standards 
- Handle complaints from guests, and inform management when complaints are given 
- Ensure all customer contact is handled politely and efficiently </t>
  </si>
  <si>
    <r>
      <rPr>
        <b/>
        <sz val="12"/>
        <color theme="1"/>
        <rFont val="Times New Roman"/>
      </rPr>
      <t xml:space="preserve">The Non-Negotiables (Must-Haves): </t>
    </r>
    <r>
      <rPr>
        <sz val="12"/>
        <color theme="1"/>
        <rFont val="Times New Roman"/>
      </rPr>
      <t xml:space="preserve">
- Graduate from hotel school is preferred 
- Good command of both written and spoken English 
- Creative, presentable and self-motivated with a fun and positive personality 
</t>
    </r>
    <r>
      <rPr>
        <b/>
        <sz val="12"/>
        <color theme="1"/>
        <rFont val="Times New Roman"/>
      </rPr>
      <t>The Cherries on Top (Nice-to-Haves):</t>
    </r>
    <r>
      <rPr>
        <sz val="12"/>
        <color theme="1"/>
        <rFont val="Times New Roman"/>
      </rPr>
      <t xml:space="preserve"> 
- Great team player, passion for quality in guest services, enjoy working in a dynamic and creative environment 
- Very flexible and able to adapt to changing and fast-paced environments </t>
    </r>
  </si>
  <si>
    <t>FT</t>
  </si>
  <si>
    <t>Server – Sugar
(EAST Hong Kong)</t>
  </si>
  <si>
    <t>This role supports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 </t>
  </si>
  <si>
    <t xml:space="preserve">- Work in a section of the bar under the direct supervision of a team leader or captain 
- Take responsibility for overall cleanliness and tidiness of the restaurant 
- Ensure all guests are satisfied and served according to hotel standards 
- Handle complaints from guests, and inform management when complaints are given 
- Ensure all customer contact is handled politely and efficiently </t>
  </si>
  <si>
    <r>
      <rPr>
        <b/>
        <sz val="12"/>
        <color theme="1"/>
        <rFont val="Times New Roman"/>
      </rPr>
      <t xml:space="preserve">The Non-Negotiables (Must-Haves): 
</t>
    </r>
    <r>
      <rPr>
        <sz val="12"/>
        <color theme="1"/>
        <rFont val="Times New Roman"/>
      </rPr>
      <t xml:space="preserve">- Candidates with more experience will be considered as Captain 
- Graduate from hotel school is preferred 
- Good command of both written and spoken English 
</t>
    </r>
    <r>
      <rPr>
        <b/>
        <sz val="12"/>
        <color theme="1"/>
        <rFont val="Times New Roman"/>
      </rPr>
      <t xml:space="preserve">The Cherries on Top (Nice-to-Haves): 
</t>
    </r>
    <r>
      <rPr>
        <sz val="12"/>
        <color theme="1"/>
        <rFont val="Times New Roman"/>
      </rPr>
      <t xml:space="preserve">- Creative, presentable and self-motivated with a fun and positive personality 
- Great team player, passion for quality in guest services, enjoy working in a dynamic and creative environment. Very flexible and able to adapt to changing and fast-paced environments </t>
    </r>
  </si>
  <si>
    <t>Reservations Coordinator
(EAST Hong Kong)</t>
  </si>
  <si>
    <t>Reservation</t>
  </si>
  <si>
    <t>This role supports the Reservations team to create authentic and memorable experiences for our guests that distinguish us from other hotels. We prioritise our guests in every aspect of their journey with us. Those who are passionate about meeting new people, making a spontaneous impression, and think out of the box will enjoy this role. </t>
  </si>
  <si>
    <t xml:space="preserve">- Provide prompt, courteous and efficient service at all times 
- Ensure that all reservations are entered accurately and work updates maintained consistently          
- Handle incoming reservation requests/correspondence, confirming or regretting on the day received 
- Upsell whenever possible to maximize on occupancy and revenues 
- Alert the manager of sudden changes in occupancy levels and advise any deviations in rate applications or reservation arrangements </t>
  </si>
  <si>
    <r>
      <rPr>
        <b/>
        <sz val="12"/>
        <color theme="1"/>
        <rFont val="Times New Roman"/>
      </rPr>
      <t xml:space="preserve">The Non-Negotiables (Must-Haves): 
</t>
    </r>
    <r>
      <rPr>
        <sz val="12"/>
        <color theme="1"/>
        <rFont val="Times New Roman"/>
      </rPr>
      <t xml:space="preserve">- A minimum of 1 year experience in related field is preferable 
- Diploma holder in hotel or related disciplines 
- Good interpersonal and communication skills, pleasant and outspoken. Good command of both written &amp; spoken English and Chinese, proficiency in Putonghua would be a definite advantage. Good up-selling skills. In depth knowledge of hotel management system is preferable.
</t>
    </r>
    <r>
      <rPr>
        <b/>
        <sz val="12"/>
        <color theme="1"/>
        <rFont val="Times New Roman"/>
      </rPr>
      <t xml:space="preserve">The Cherries on Top (Nice-to-Haves): 
</t>
    </r>
    <r>
      <rPr>
        <sz val="12"/>
        <color theme="1"/>
        <rFont val="Times New Roman"/>
      </rPr>
      <t xml:space="preserve">- Creative, presentable and self-motivated with a fun and positive personality 
- Great team player, responsible, independent &amp; able to work under pressure. Very flexible and able to adapt to different situations, taking enjoyment in a fast paced and challenging environment. </t>
    </r>
  </si>
  <si>
    <t>Sales &amp; Leasing Coordinator
(EAST Hong Kong)</t>
  </si>
  <si>
    <t>This role supports the Sales &amp; Leasing team to create authentic and memorable experiences for our guests that distinguish us from other hotels. We prioritise our guests in every aspect of their journey with us. Those who are passionate about meeting new people, making a spontaneous impression, and think out of the box will enjoy this role.</t>
  </si>
  <si>
    <t xml:space="preserve">- Complete proposals and confirmation for Leasing, Corporate and T&amp;T segments for both Hotel and Apartments
- Prepare all types of correspondence and reports e.g. sales reports, comparisons and analysis, letters of offer, contracts, expense report, business development meeting reports, etc
- Input and maintain clients database and documents updated and accurate
- Assist Sales Manager to handle sales and leasing enquiries, tenancy agreements administration, insurance claims, rental arrears collation, issue debit note, daily management and preparation of related documents and reports
- Update regularly on competitors offers and markets intelligence and shares the information with sales team
- Perform and involve in any sales related projects and ad-hoc assignments as assigned for both Hotel and Apartments </t>
  </si>
  <si>
    <r>
      <rPr>
        <b/>
        <sz val="12"/>
        <color theme="1"/>
        <rFont val="Times New Roman"/>
      </rPr>
      <t xml:space="preserve">The Non-Negotiables (Must-Haves): 
</t>
    </r>
    <r>
      <rPr>
        <sz val="12"/>
        <color theme="1"/>
        <rFont val="Times New Roman"/>
      </rPr>
      <t xml:space="preserve">- A minimum of 1 year experience in related field is preferable
- Post-graduate diploma or equivalent professional hotel / secretarial training is required
- Good PC skills and MS Word, Excel, PowerPoint &amp; Chinese Word Processing. Good command of both written &amp; spoken English and Chinese, proficiency in Putonghua would be a definite advantage. Good interpersonal and communication skills, pleasant and outspoken. Good organisation skills with a strong attention to details
</t>
    </r>
    <r>
      <rPr>
        <b/>
        <sz val="12"/>
        <color theme="1"/>
        <rFont val="Times New Roman"/>
      </rPr>
      <t xml:space="preserve">The Cherries on Top (Nice-to-Haves): 
</t>
    </r>
    <r>
      <rPr>
        <sz val="12"/>
        <color theme="1"/>
        <rFont val="Times New Roman"/>
      </rPr>
      <t>- Creative, presentable and self-motivated with a fun and positive personality
- Independent &amp; able to work under pressure</t>
    </r>
  </si>
  <si>
    <t>Marketing &amp; Communications Assistant
(EAST Hong Kong)</t>
  </si>
  <si>
    <t>Sales and Marketing</t>
  </si>
  <si>
    <t>This role supervises the hotel's marketing efforts, from developing strategies to driving brand and communication related initiatives. We play a crucial role in shaping our hotel's brand image, creating awareness and driving revenue growth. Those who are creative and open-minded, have a deep understanding of market dynamics and consumer behaviours will enjoy the role.</t>
  </si>
  <si>
    <t>- Monitor and maintain hotel website and social media platforms and assist in planning and creating social media campaign and content creation
- Coordinate with designers, agency partners on in-house videography and photography productions
- Handle media enquiries &amp; shooting requests and monitor hotel reviews and industry news on daily basis
- Reply guest enquiries on social media platforms and deliver feedback after discussing with the team
- Conduct market research for projects assigned
- Develop marketing communications including DM, eDM, posters and email signature</t>
  </si>
  <si>
    <r>
      <rPr>
        <b/>
        <sz val="12"/>
        <color theme="1"/>
        <rFont val="Times New Roman"/>
      </rPr>
      <t xml:space="preserve">The Non-Negotiables (Must-Haves): 
</t>
    </r>
    <r>
      <rPr>
        <sz val="12"/>
        <color theme="1"/>
        <rFont val="Times New Roman"/>
      </rPr>
      <t xml:space="preserve">- 1-2 years marketing / public relations / media relations experience in agency, hotel, catering or F&amp;B environment
- A degree holder in Business Administration / Communications / Translations or equivalent in related discipline
- Strong interpersonal, communication and time management skills with attention to details. Excellent command of both written and spoken English and Chinese, proficient in Putonghua would be a definite advantage. Fully computer literate, i.e. Photoshop and graphic. Strong understanding of Marketing &amp; Communications activities
</t>
    </r>
    <r>
      <rPr>
        <b/>
        <sz val="12"/>
        <color theme="1"/>
        <rFont val="Times New Roman"/>
      </rPr>
      <t xml:space="preserve">The Cherries on Top (Nice-to-Haves): 
</t>
    </r>
    <r>
      <rPr>
        <sz val="12"/>
        <color theme="1"/>
        <rFont val="Times New Roman"/>
      </rPr>
      <t>- Creative, Presentable, cheerful &amp; professional manner, outgoing in nature, team player
- Video production knowledge is an advantage. Very flexible and able to adapt to different situations, taking enjoyment from everyday being different</t>
    </r>
  </si>
  <si>
    <t>Guest Experience Intern
(The Upper Hourse)</t>
  </si>
  <si>
    <t xml:space="preserve">- Liaise with other departments and outside contacts as necessary to ensure excellent service delivery 
- Familiar with property operations procedures 
- Ensure personalised service and approach guests proactively to offer service 
- Coordinate luggage arrival/storage when necessary in order to keep workplace area clean 
- Perform any other reasonable duties as required by the department head from time to time </t>
  </si>
  <si>
    <r>
      <rPr>
        <b/>
        <sz val="12"/>
        <color theme="1"/>
        <rFont val="Times New Roman"/>
      </rPr>
      <t xml:space="preserve">The Non-Negotiables (Must-Haves): 
</t>
    </r>
    <r>
      <rPr>
        <sz val="12"/>
        <color theme="1"/>
        <rFont val="Times New Roman"/>
      </rPr>
      <t xml:space="preserve">- Bachelor in Hotel Management or related disciplines 
- Interest in Guest Experience/ Good customer services knowledge 
- Open to all nationality; Holder of Permanent Hong Kong Identity Card is preferred 
</t>
    </r>
    <r>
      <rPr>
        <b/>
        <sz val="12"/>
        <color theme="1"/>
        <rFont val="Times New Roman"/>
      </rPr>
      <t xml:space="preserve">The Cherries on Top (Nice-to-Haves): 
</t>
    </r>
    <r>
      <rPr>
        <sz val="12"/>
        <color theme="1"/>
        <rFont val="Times New Roman"/>
      </rPr>
      <t xml:space="preserve">- Very flexible and able to adapt to changing environments and Management demands, able to cope with pressure </t>
    </r>
  </si>
  <si>
    <t xml:space="preserve">- Experience our 4.5-day work week, an extra half day each week for you to look after yourself, be healthy and be happy! 
- Join our wellness programme to elevate your mental and physical wellbeing! 
- Be welcomed for the stylish you, if you got accessories, hair dyes or tattoos! </t>
  </si>
  <si>
    <t>Restaurant &amp; Bar Intern
(The Upper House)</t>
  </si>
  <si>
    <t xml:space="preserve">- Acknowledge and warmly welcome/ fondly farewell all guests using their name 
- Ensure all customer contact is handled politely and efficiently 
- Work in a section of restaurant or bar under the direct supervision of a team leader and ensure all guests are satisfied and served according to hotel standards 
- Perform any other reasonable duties as required by the Management from time to time 
- Take responsibility for overall cleanliness and tidiness of the restaurant </t>
  </si>
  <si>
    <r>
      <rPr>
        <b/>
        <sz val="12"/>
        <color theme="1"/>
        <rFont val="Times New Roman"/>
      </rPr>
      <t xml:space="preserve">The Non-Negotiables (Must-Haves): 
</t>
    </r>
    <r>
      <rPr>
        <sz val="12"/>
        <color theme="1"/>
        <rFont val="Times New Roman"/>
      </rPr>
      <t xml:space="preserve">- Open to all nationality; Holder of Permanent Hong Kong Identity Card is preferred 
- Bachelor in Hotel Management or related disciplines 
- Interest in food and beverage 
</t>
    </r>
    <r>
      <rPr>
        <b/>
        <sz val="12"/>
        <color theme="1"/>
        <rFont val="Times New Roman"/>
      </rPr>
      <t xml:space="preserve">The Cherries on Top (Nice-to-Haves): 
</t>
    </r>
    <r>
      <rPr>
        <sz val="12"/>
        <color theme="1"/>
        <rFont val="Times New Roman"/>
      </rPr>
      <t xml:space="preserve">- Very flexible and able to adapt to changing environments and Management demands, able to cope with pressure </t>
    </r>
  </si>
  <si>
    <t>Kitchen Intern
(The Upper House)</t>
  </si>
  <si>
    <t>This role supports a team to craft exceptional culinary experiences and create unforgettable moments for our guests. We are the soul of the Restaurant and Bar operations as the food we serve allows our guests to enjoy wonderful dining experiences. Those who have a desire to learn, grow and be part of a fun and dynamic team will enjoy the role. </t>
  </si>
  <si>
    <t xml:space="preserve">- Responsible for mise-en-place preparation 
- Maintain high standards of appearance and good personal hygiene 
- Follow instructions for preparation and food handling 
-Work closely with Stewards to maintain the cleanliness of the kitchen area as well as the equipment and utensils 
- Ensure that you report to work on time as per culinary department schedules 
- Perform any other reasonable duties as required by the department head from time to time </t>
  </si>
  <si>
    <r>
      <rPr>
        <b/>
        <sz val="12"/>
        <color theme="1"/>
        <rFont val="Times New Roman"/>
      </rPr>
      <t xml:space="preserve">The Non-Negotiables (Must-Haves): 
</t>
    </r>
    <r>
      <rPr>
        <sz val="12"/>
        <color theme="1"/>
        <rFont val="Times New Roman"/>
      </rPr>
      <t xml:space="preserve">- Bachelor in Hotel Management or related disciplines 
- Interest in food and beverage/ Good Food and Beverage knowledge 
- Open to all nationality; Holder of Permanent Hong Kong Identity Card is preferred 
</t>
    </r>
    <r>
      <rPr>
        <b/>
        <sz val="12"/>
        <color theme="1"/>
        <rFont val="Times New Roman"/>
      </rPr>
      <t xml:space="preserve">The Cherries on Top (Nice-to-Haves): 
</t>
    </r>
    <r>
      <rPr>
        <sz val="12"/>
        <color theme="1"/>
        <rFont val="Times New Roman"/>
      </rPr>
      <t xml:space="preserve">- Very flexible and able to adapt to changing environments and Management demands, able to cope with pressure </t>
    </r>
  </si>
  <si>
    <t>Guest Experience Assistant
(The Upper House)</t>
  </si>
  <si>
    <t xml:space="preserve">- Prepare for daily arrivals and departures. 
- Ensure all guest information such as identity card, credit card, contact details are input correctly in guest profiles and reservations. 
- Assist with guest transportation by house car and taxi, and review next day transportation and on day report. 
- Reply to guest emails in timely manner. 
- Process all incoming and outgoing calls accurately and courteously to ensure smooth internal &amp; external telecommunication as per hotel standards. </t>
  </si>
  <si>
    <r>
      <rPr>
        <b/>
        <sz val="12"/>
        <color theme="1"/>
        <rFont val="Times New Roman"/>
      </rPr>
      <t xml:space="preserve">The Non-Negotiables (Must-Haves): 
</t>
    </r>
    <r>
      <rPr>
        <sz val="12"/>
        <color theme="1"/>
        <rFont val="Times New Roman"/>
      </rPr>
      <t xml:space="preserve">- Minimum 1 - 2 years of experience in customer service; fresh graduates will also be considered 
- Diploma or above; graduate from hotel school or hospitality training institute is preferred 
- Strong interpersonal and communications skills. Excellent command of both written and spoken English 
- Great team player, flexible and self-motivated 
</t>
    </r>
    <r>
      <rPr>
        <b/>
        <sz val="12"/>
        <color theme="1"/>
        <rFont val="Times New Roman"/>
      </rPr>
      <t xml:space="preserve">The Cherries on Top (Nice-to-Haves): 
</t>
    </r>
    <r>
      <rPr>
        <sz val="12"/>
        <color theme="1"/>
        <rFont val="Times New Roman"/>
      </rPr>
      <t xml:space="preserve">- Passionate, independent &amp; able to work in a face-paced environment </t>
    </r>
  </si>
  <si>
    <t xml:space="preserve">- Experience our 4.5-day work week, an extra half day each week for you to look after yourself, be healthy and be happy! 
- Enjoy COMPLIMENTARY room nights at all of our hotels b’cause, who doesn’t love to travel? 
- Join our wellness programme to elevate your mental and physical wellbeing! 
- Enjoy discounts at our restaurants, bars, and spa -- at all locations! 
- Be welcomed for the stylish you, if you got accessories, hair dyes or tattoos! </t>
  </si>
  <si>
    <t>Guest Experience Assistant - Bell
(The Upper House)</t>
  </si>
  <si>
    <t>This role supports the Guest Experience team to create authentic and memorable experiences for our guests that distinguish us from other hotels. We prioritise our guests in every aspect of their journey with us. Those who are passionate about meeting new people, making a spontaneous impression, and think out of the box will enjoy this role. </t>
  </si>
  <si>
    <t>- Support the team during check in process. Stay alert for any additional service need which might arise
- Provide information to guests about the hotel facilities and services
- Coordinate luggage arrival/storage when necessary in order to keep workplace area clean
- Communicate matters of importance to guest Experience managers in order to update the e-log book
- Perform related duties and special projects assigned</t>
  </si>
  <si>
    <r>
      <rPr>
        <b/>
        <sz val="12"/>
        <color theme="1"/>
        <rFont val="Times New Roman"/>
      </rPr>
      <t xml:space="preserve">The Non-Negotiables (Must-Haves): 
</t>
    </r>
    <r>
      <rPr>
        <sz val="12"/>
        <color theme="1"/>
        <rFont val="Times New Roman"/>
      </rPr>
      <t xml:space="preserve">- Relevant work experience in the hotel industry is an advantage 
- Diploma or above, graduate from hotel school or hospitality training institute preferred 
- Excellent and effective interpersonal skills 
</t>
    </r>
    <r>
      <rPr>
        <b/>
        <sz val="12"/>
        <color theme="1"/>
        <rFont val="Times New Roman"/>
      </rPr>
      <t xml:space="preserve">The Cherries on Top (Nice-to-Haves): 
</t>
    </r>
    <r>
      <rPr>
        <sz val="12"/>
        <color theme="1"/>
        <rFont val="Times New Roman"/>
      </rPr>
      <t xml:space="preserve">- Outgoing and people oriented   
- Willing to grow and learn </t>
    </r>
  </si>
  <si>
    <t>Guest Coordinator - Salisterra
(The Upper House)</t>
  </si>
  <si>
    <t>This role assists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t>
  </si>
  <si>
    <t>- Acknowledge, welcome and be a great first impression to all guests.
- Manage and control all reservations and guest coordination
- Ensure all customer contact is handled politely and efficiently, ascertaining and accurately meets their needs.
- Update and maintain guest database system, as well as to record guests’ preferences
- Inspect the front and back areas and make sure all is always impeccable
- Perform any other reasonable duties as required by the Management from time to time</t>
  </si>
  <si>
    <r>
      <rPr>
        <b/>
        <sz val="12"/>
        <color theme="1"/>
        <rFont val="Times New Roman"/>
      </rPr>
      <t xml:space="preserve">The Non-Negotiables (Must-Haves): 
</t>
    </r>
    <r>
      <rPr>
        <sz val="12"/>
        <color theme="1"/>
        <rFont val="Times New Roman"/>
      </rPr>
      <t xml:space="preserve">- Minimum 1-2 years in F&amp;B experience is preferred. fresh graduates from a relevant discipline will also be considered
- Diploma or above. Graduate from technical college or hotel school is preferred
- Excellent command of both written and spoken English, as well as Cantonese. 
- Strong interpersonal and communications skills, outgoing and people orientated
</t>
    </r>
    <r>
      <rPr>
        <b/>
        <sz val="12"/>
        <color theme="1"/>
        <rFont val="Times New Roman"/>
      </rPr>
      <t xml:space="preserve">The Cherries on Top (Nice-to-Haves): 
</t>
    </r>
    <r>
      <rPr>
        <sz val="12"/>
        <color theme="1"/>
        <rFont val="Times New Roman"/>
      </rPr>
      <t>- Great team player, flexible and able to adapt to face-paced environment
- Excellent computer skills</t>
    </r>
  </si>
  <si>
    <t>Server – Salisterra / The Continental
(The Upper House)</t>
  </si>
  <si>
    <t xml:space="preserve">This role assists a team to create unique and exceptional memories for our guests. We are committed to providing personalised and delightful services through anticipating and fulfilling our guests' needs. Those who are genuinely passionate about interacting with people, have an ability to establish connections with warmth and an engaging personality will enjoy this role. </t>
  </si>
  <si>
    <t xml:space="preserve">- Acknowledge and warmly welcome/ fondly farewell all guests using their name 
- Ensure all customer contact is handled politely and efficiently 
- Effectively ascertain and accurately meet all guest needs 
- Take good care of all operating equipment to ensure a minimum of breakage and damages 
- Perform any other reasonable duties as required by the Management from time to time </t>
  </si>
  <si>
    <r>
      <rPr>
        <b/>
        <sz val="12"/>
        <color theme="1"/>
        <rFont val="Times New Roman"/>
      </rPr>
      <t xml:space="preserve">The Non-Negotiables (Must-Haves): 
</t>
    </r>
    <r>
      <rPr>
        <sz val="12"/>
        <color theme="1"/>
        <rFont val="Times New Roman"/>
      </rPr>
      <t xml:space="preserve">- Minimum 6 months - 1 year experience in similar position or fresh graduate from a hospitality course. 
- Diploma or above; Graduate from hotel school or hospitality training institute is preferred. 
- Good knowledge of food and beverage with good interpersonal and communication skills. 
</t>
    </r>
    <r>
      <rPr>
        <b/>
        <sz val="12"/>
        <color theme="1"/>
        <rFont val="Times New Roman"/>
      </rPr>
      <t xml:space="preserve">The Cherries on Top (Nice-to-Haves): 
</t>
    </r>
    <r>
      <rPr>
        <sz val="12"/>
        <color theme="1"/>
        <rFont val="Times New Roman"/>
      </rPr>
      <t xml:space="preserve">- Great team player, flexible and able to adapt to face-paced environment 
- Passionate in developing knowledge about food and beverage </t>
    </r>
  </si>
  <si>
    <t>R&amp;B Reservations Officer 
(The Upper House)</t>
  </si>
  <si>
    <t>This role supports passionate front and back of house team members to provide our guests with great and fun R&amp;B experiences. We bring life to our House, radiate enthusiasm in the kitchens and blast music through the speakers. Those who are a people’s person, warm-hearted and sharp and quick on your feet will enjoy the role.</t>
  </si>
  <si>
    <t>- Handle guest inquiries by telephone and email in relation to restaurant reservations, services facilities and prices 
- Input and update restaurant reservations accurately into relevant systems
- Coordinate with other operating departments to arrange guests' preferences
- Prepare reports to management
- Perform any other reasonable duties as required by the Management from time to time</t>
  </si>
  <si>
    <r>
      <rPr>
        <b/>
        <sz val="12"/>
        <color theme="1"/>
        <rFont val="Times New Roman"/>
      </rPr>
      <t xml:space="preserve">The Non-Negotiables (Must-Haves): 
</t>
    </r>
    <r>
      <rPr>
        <sz val="12"/>
        <color theme="1"/>
        <rFont val="Times New Roman"/>
      </rPr>
      <t xml:space="preserve">- Preferably 1-year working experience in hotel, restaurant or other service industry. Fresh graduates from a relevant discipline will also be considered
- Strong communication skills with good command of English and Chinese. 
- Proficient in computer and telephone manners. Strong administrative skills
- Familiar with restaurant/ hotel reservations system would be an advantage
</t>
    </r>
    <r>
      <rPr>
        <b/>
        <sz val="12"/>
        <color theme="1"/>
        <rFont val="Times New Roman"/>
      </rPr>
      <t xml:space="preserve">The Cherries on Top (Nice-to-Haves): 
</t>
    </r>
    <r>
      <rPr>
        <sz val="12"/>
        <color theme="1"/>
        <rFont val="Times New Roman"/>
      </rPr>
      <t xml:space="preserve">- Great team player, flexible and able to adapt to face-paced environment 
- Passionate in developing knowledge about food and beverage </t>
    </r>
  </si>
  <si>
    <t>Guest Experience Management Trainee 
(The Upper House)</t>
  </si>
  <si>
    <t>This role supports the Guest Experience team to create authentic and memorable experiences for our guests that distinguish us from other hotels. We prioritise our guests in every aspect of their journey with us. Those who are passionate about meeting new people, making a spontaneous impression, and think out of the box will enjoy this role.</t>
  </si>
  <si>
    <t xml:space="preserve">- Go through on-the-job training in Guest Experience department with exposure to other hotel functions through familiarization/ cross exposure to develop a better understanding of overall hotel operations and how various functions are interlinked 
- Perform duties on different roles to develop skills and knowledge on operations and procedures. Take on people responsibilities to develop people leadership skills. The Guest Experience Management Trainee will progress into more substantial roles throughout the programme 
- Assist with different projects as assigned by the Department Head. This may involve conducting research and analysis and coming up with different ideas that will enhance hotel offerings and business performance. Through involvement in different projects, the Guest Experience Management Trainee will develop leadership and project management skills and be able to demonstrate managerial potentials 
- Report to the Director of Guest Experience 
- Provide monthly reports on observations at each department, with a view to analyse and make suggestions for improvements 
- Participate in various operations and business meetings to develop business acumen </t>
  </si>
  <si>
    <r>
      <rPr>
        <b/>
        <sz val="12"/>
        <color theme="1"/>
        <rFont val="Times New Roman"/>
      </rPr>
      <t xml:space="preserve">The Non-Negotiables (Must-Haves): 
</t>
    </r>
    <r>
      <rPr>
        <sz val="12"/>
        <color theme="1"/>
        <rFont val="Times New Roman"/>
      </rPr>
      <t xml:space="preserve">- Degree in Hotel and/or Tourism Management or equivalent preferred, with less than 2 years of post-graduate work experience in the hotel industry  
- A good team player with exceptional interpersonal and communication skills 
- Highly flexible and ready to take on challenges 
</t>
    </r>
    <r>
      <rPr>
        <b/>
        <sz val="12"/>
        <color theme="1"/>
        <rFont val="Times New Roman"/>
      </rPr>
      <t xml:space="preserve">The Cherries on Top (Nice-to-Haves): 
</t>
    </r>
    <r>
      <rPr>
        <sz val="12"/>
        <color theme="1"/>
        <rFont val="Times New Roman"/>
      </rPr>
      <t xml:space="preserve">- To be yourself, a warm and engaging character is a definite advantage 
- Fun-loving, creative and passionate in making a difference </t>
    </r>
  </si>
  <si>
    <t>Restaurant &amp; Bar Management Trainee
(The Upper House)</t>
  </si>
  <si>
    <t xml:space="preserve">- Go through on-the-job training in Restaurant &amp; Bar department with exposure to other hotel functions through familiarization/ cross exposure to develop a better understanding of overall hotel operations and how various functions are interlinked 
- Perform duties on different roles to develop skills and knowledge on operations and procedures.  Take on people responsibilities to develop people leadership skills.  The Restaurant &amp; Bar Management Trainee will progress into more substantial roles throughout the programme 
- Assist with different projects as assigned by the Department Head. This may involve conducting research and analysis and coming up with different ideas that will enhance hotel offerings and business performance.  Through involvement in different projects, the Restaurant &amp; Bar Management Trainee will develop leadership and project management skills and be able to demonstrate managerial potentials 
- Participate in various operations and business meetings to develop business acumen </t>
  </si>
  <si>
    <r>
      <rPr>
        <b/>
        <sz val="12"/>
        <color theme="1"/>
        <rFont val="Times New Roman"/>
      </rPr>
      <t xml:space="preserve">The Non-Negotiables (Must-Haves): 
</t>
    </r>
    <r>
      <rPr>
        <sz val="12"/>
        <color theme="1"/>
        <rFont val="Times New Roman"/>
      </rPr>
      <t xml:space="preserve">- Degree in Hotel and/or Tourism Management or equivalent preferred, with less than 2 years of post-graduate work experience in the hotel industry 
- A good team player with exceptional interpersonal and communication skills 
- Highly flexible and ready to take on challenges 
</t>
    </r>
    <r>
      <rPr>
        <b/>
        <sz val="12"/>
        <color theme="1"/>
        <rFont val="Times New Roman"/>
      </rPr>
      <t xml:space="preserve">The Cherries on Top (Nice-to-Haves): 
</t>
    </r>
    <r>
      <rPr>
        <sz val="12"/>
        <color theme="1"/>
        <rFont val="Times New Roman"/>
      </rPr>
      <t xml:space="preserve">- To be yourself, a warm and engaging character is a definite advantage 
- Fun-loving, creative and passionate in making a difference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</si>
</sst>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36"/>
      <scheme val="minor"/>
    </font>
    <font>
      <sz val="9"/>
      <name val="Aptos Narrow"/>
      <family val="2"/>
      <charset val="136"/>
      <scheme val="minor"/>
    </font>
    <font>
      <b/>
      <sz val="12"/>
      <color theme="1"/>
      <name val="Times New Roman"/>
    </font>
    <font>
      <sz val="12"/>
      <color theme="1"/>
      <name val="Times New Roman"/>
    </font>
    <font>
      <sz val="11.5"/>
      <color theme="1"/>
      <name val="Times New Roman"/>
    </font>
    <font>
      <sz val="12"/>
      <color rgb="FF000000"/>
      <name val="Times New Roman"/>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1">
    <xf numFmtId="0" fontId="0" fillId="0" borderId="0">
      <alignment vertical="center"/>
    </xf>
  </cellStyleXfs>
  <cellXfs count="15">
    <xf numFmtId="0" fontId="0" fillId="0" borderId="0" xfId="0">
      <alignment vertical="center"/>
    </xf>
    <xf numFmtId="0" fontId="2" fillId="0" borderId="0" xfId="0" applyFont="1" applyAlignment="1">
      <alignment horizontal="left" vertical="center" wrapText="1"/>
    </xf>
    <xf numFmtId="0" fontId="3" fillId="0" borderId="0" xfId="0" applyFont="1">
      <alignment vertical="center"/>
    </xf>
    <xf numFmtId="0" fontId="2" fillId="0" borderId="0" xfId="0" applyFont="1" applyAlignment="1">
      <alignment horizontal="left" vertical="center"/>
    </xf>
    <xf numFmtId="0" fontId="2" fillId="0" borderId="0" xfId="0" applyFont="1" applyFill="1" applyAlignment="1">
      <alignment horizontal="left" vertical="center"/>
    </xf>
    <xf numFmtId="0" fontId="3" fillId="0" borderId="0" xfId="0" applyFont="1" applyFill="1">
      <alignment vertical="center"/>
    </xf>
    <xf numFmtId="0" fontId="3" fillId="2" borderId="0" xfId="0" applyFont="1" applyFill="1" applyAlignment="1">
      <alignment horizontal="center" vertical="center" wrapText="1"/>
    </xf>
    <xf numFmtId="0" fontId="3" fillId="0" borderId="0" xfId="0" applyFont="1" applyAlignment="1">
      <alignment horizontal="left" vertical="center"/>
    </xf>
    <xf numFmtId="0" fontId="3" fillId="0" borderId="0" xfId="0" applyFont="1" applyAlignment="1">
      <alignment vertical="center" wrapText="1"/>
    </xf>
    <xf numFmtId="0" fontId="3" fillId="0" borderId="0" xfId="0" quotePrefix="1" applyFont="1" applyAlignment="1">
      <alignment horizontal="left" vertical="center" wrapText="1"/>
    </xf>
    <xf numFmtId="0" fontId="3" fillId="0" borderId="0" xfId="0" quotePrefix="1" applyFont="1" applyAlignment="1">
      <alignment horizontal="left" vertical="center" wrapText="1"/>
    </xf>
    <xf numFmtId="0" fontId="3" fillId="0" borderId="0" xfId="0" quotePrefix="1" applyFont="1">
      <alignment vertical="center"/>
    </xf>
    <xf numFmtId="0" fontId="3" fillId="0" borderId="0" xfId="0" quotePrefix="1" applyFont="1" applyAlignment="1">
      <alignment vertical="center" wrapText="1"/>
    </xf>
    <xf numFmtId="0" fontId="4" fillId="0" borderId="0" xfId="0" quotePrefix="1" applyFont="1" applyAlignment="1">
      <alignment horizontal="left" vertical="center" wrapText="1"/>
    </xf>
    <xf numFmtId="0" fontId="5"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375F0-B1FC-4A61-B7B9-C426FC8CD1CF}">
  <dimension ref="A1:J30"/>
  <sheetViews>
    <sheetView tabSelected="1" zoomScale="55" zoomScaleNormal="55" workbookViewId="0">
      <selection activeCell="B17" sqref="B17"/>
    </sheetView>
  </sheetViews>
  <sheetFormatPr defaultColWidth="9" defaultRowHeight="15.75"/>
  <cols>
    <col min="1" max="1" width="6.125" style="7" customWidth="1"/>
    <col min="2" max="2" width="26" style="2" customWidth="1"/>
    <col min="3" max="3" width="21.625" style="2" customWidth="1"/>
    <col min="4" max="4" width="51.5" style="2" customWidth="1"/>
    <col min="5" max="5" width="66.625" style="2" customWidth="1"/>
    <col min="6" max="6" width="74.25" style="2" customWidth="1"/>
    <col min="7" max="7" width="19.25" style="2" customWidth="1"/>
    <col min="8" max="8" width="31.25" style="2" customWidth="1"/>
    <col min="9" max="9" width="51.875" style="2" customWidth="1"/>
    <col min="10" max="10" width="15.125" style="2" customWidth="1"/>
    <col min="11" max="11" width="8.875" style="2" customWidth="1"/>
    <col min="12" max="16384" width="9" style="2"/>
  </cols>
  <sheetData>
    <row r="1" spans="1:10">
      <c r="A1" s="1" t="s">
        <v>0</v>
      </c>
      <c r="B1" s="1"/>
      <c r="C1" s="1"/>
      <c r="D1" s="1"/>
      <c r="E1" s="1"/>
    </row>
    <row r="2" spans="1:10">
      <c r="A2" s="3"/>
    </row>
    <row r="3" spans="1:10">
      <c r="A3" s="4" t="s">
        <v>1</v>
      </c>
      <c r="B3" s="5"/>
    </row>
    <row r="5" spans="1:10" ht="69" customHeight="1">
      <c r="A5" s="6" t="s">
        <v>2</v>
      </c>
      <c r="B5" s="6" t="s">
        <v>3</v>
      </c>
      <c r="C5" s="6" t="s">
        <v>4</v>
      </c>
      <c r="D5" s="6" t="s">
        <v>5</v>
      </c>
      <c r="E5" s="6" t="s">
        <v>6</v>
      </c>
      <c r="F5" s="6" t="s">
        <v>7</v>
      </c>
      <c r="G5" s="6" t="s">
        <v>8</v>
      </c>
      <c r="H5" s="6" t="s">
        <v>9</v>
      </c>
      <c r="I5" s="6" t="s">
        <v>10</v>
      </c>
      <c r="J5" s="6" t="s">
        <v>11</v>
      </c>
    </row>
    <row r="6" spans="1:10" ht="169.5" customHeight="1">
      <c r="A6" s="7">
        <f>ROW()-5</f>
        <v>1</v>
      </c>
      <c r="B6" s="8" t="s">
        <v>12</v>
      </c>
      <c r="C6" s="2" t="s">
        <v>13</v>
      </c>
      <c r="D6" s="8" t="s">
        <v>14</v>
      </c>
      <c r="E6" s="9" t="s">
        <v>15</v>
      </c>
      <c r="F6" s="8" t="s">
        <v>16</v>
      </c>
      <c r="G6" s="2" t="s">
        <v>17</v>
      </c>
      <c r="H6" s="2" t="s">
        <v>18</v>
      </c>
      <c r="I6" s="10" t="s">
        <v>19</v>
      </c>
      <c r="J6" s="11">
        <v>1</v>
      </c>
    </row>
    <row r="7" spans="1:10" ht="173.25" customHeight="1">
      <c r="A7" s="7">
        <f>ROW()-5</f>
        <v>2</v>
      </c>
      <c r="B7" s="8" t="s">
        <v>20</v>
      </c>
      <c r="C7" s="2" t="s">
        <v>13</v>
      </c>
      <c r="D7" s="8" t="s">
        <v>21</v>
      </c>
      <c r="E7" s="9" t="s">
        <v>22</v>
      </c>
      <c r="F7" s="8" t="s">
        <v>23</v>
      </c>
      <c r="G7" s="2" t="s">
        <v>17</v>
      </c>
      <c r="H7" s="2" t="s">
        <v>18</v>
      </c>
      <c r="I7" s="10"/>
      <c r="J7" s="11">
        <v>1</v>
      </c>
    </row>
    <row r="8" spans="1:10" ht="161.25" customHeight="1">
      <c r="A8" s="7">
        <f t="shared" ref="A8:A28" si="0">ROW()-5</f>
        <v>3</v>
      </c>
      <c r="B8" s="8" t="s">
        <v>24</v>
      </c>
      <c r="C8" s="2" t="s">
        <v>25</v>
      </c>
      <c r="D8" s="8" t="s">
        <v>26</v>
      </c>
      <c r="E8" s="9" t="s">
        <v>27</v>
      </c>
      <c r="F8" s="12" t="s">
        <v>28</v>
      </c>
      <c r="G8" s="2" t="s">
        <v>17</v>
      </c>
      <c r="H8" s="2" t="s">
        <v>18</v>
      </c>
      <c r="I8" s="10"/>
      <c r="J8" s="11">
        <v>1</v>
      </c>
    </row>
    <row r="9" spans="1:10" ht="350.25" customHeight="1">
      <c r="A9" s="7">
        <f t="shared" si="0"/>
        <v>4</v>
      </c>
      <c r="B9" s="8" t="s">
        <v>29</v>
      </c>
      <c r="C9" s="2" t="s">
        <v>30</v>
      </c>
      <c r="D9" s="8" t="s">
        <v>31</v>
      </c>
      <c r="E9" s="13" t="s">
        <v>32</v>
      </c>
      <c r="F9" s="12" t="s">
        <v>33</v>
      </c>
      <c r="G9" s="2" t="s">
        <v>17</v>
      </c>
      <c r="H9" s="2" t="s">
        <v>18</v>
      </c>
      <c r="I9" s="10"/>
      <c r="J9" s="11">
        <v>1</v>
      </c>
    </row>
    <row r="10" spans="1:10" ht="315" customHeight="1">
      <c r="A10" s="7">
        <f t="shared" si="0"/>
        <v>5</v>
      </c>
      <c r="B10" s="8" t="s">
        <v>34</v>
      </c>
      <c r="C10" s="2" t="s">
        <v>30</v>
      </c>
      <c r="D10" s="8" t="s">
        <v>35</v>
      </c>
      <c r="E10" s="9" t="s">
        <v>36</v>
      </c>
      <c r="F10" s="12" t="s">
        <v>37</v>
      </c>
      <c r="G10" s="2" t="s">
        <v>17</v>
      </c>
      <c r="H10" s="2" t="s">
        <v>38</v>
      </c>
      <c r="I10" s="10"/>
      <c r="J10" s="11">
        <v>1</v>
      </c>
    </row>
    <row r="11" spans="1:10" ht="238.5" customHeight="1">
      <c r="A11" s="7">
        <f t="shared" si="0"/>
        <v>6</v>
      </c>
      <c r="B11" s="8" t="s">
        <v>39</v>
      </c>
      <c r="C11" s="2" t="s">
        <v>40</v>
      </c>
      <c r="D11" s="8" t="s">
        <v>41</v>
      </c>
      <c r="E11" s="9" t="s">
        <v>42</v>
      </c>
      <c r="F11" s="12" t="s">
        <v>43</v>
      </c>
      <c r="G11" s="2" t="s">
        <v>17</v>
      </c>
      <c r="H11" s="2" t="s">
        <v>18</v>
      </c>
      <c r="I11" s="10" t="s">
        <v>44</v>
      </c>
      <c r="J11" s="12" t="s">
        <v>45</v>
      </c>
    </row>
    <row r="12" spans="1:10" ht="204.75" customHeight="1">
      <c r="A12" s="7">
        <f t="shared" si="0"/>
        <v>7</v>
      </c>
      <c r="B12" s="8" t="s">
        <v>46</v>
      </c>
      <c r="C12" s="2" t="s">
        <v>47</v>
      </c>
      <c r="D12" s="8" t="s">
        <v>48</v>
      </c>
      <c r="E12" s="9" t="s">
        <v>49</v>
      </c>
      <c r="F12" s="12" t="s">
        <v>50</v>
      </c>
      <c r="G12" s="2" t="s">
        <v>17</v>
      </c>
      <c r="H12" s="2" t="s">
        <v>18</v>
      </c>
      <c r="I12" s="10"/>
      <c r="J12" s="12" t="s">
        <v>45</v>
      </c>
    </row>
    <row r="13" spans="1:10" ht="233.25" customHeight="1">
      <c r="A13" s="7">
        <f t="shared" si="0"/>
        <v>8</v>
      </c>
      <c r="B13" s="8" t="s">
        <v>51</v>
      </c>
      <c r="C13" s="2" t="s">
        <v>47</v>
      </c>
      <c r="D13" s="8" t="s">
        <v>52</v>
      </c>
      <c r="E13" s="9" t="s">
        <v>53</v>
      </c>
      <c r="F13" s="12" t="s">
        <v>50</v>
      </c>
      <c r="G13" s="2" t="s">
        <v>17</v>
      </c>
      <c r="H13" s="2" t="s">
        <v>18</v>
      </c>
      <c r="I13" s="10"/>
      <c r="J13" s="12" t="s">
        <v>45</v>
      </c>
    </row>
    <row r="14" spans="1:10" ht="231.75" customHeight="1">
      <c r="A14" s="7">
        <f t="shared" si="0"/>
        <v>9</v>
      </c>
      <c r="B14" s="8" t="s">
        <v>54</v>
      </c>
      <c r="C14" s="2" t="s">
        <v>55</v>
      </c>
      <c r="D14" s="8" t="s">
        <v>56</v>
      </c>
      <c r="E14" s="9" t="s">
        <v>57</v>
      </c>
      <c r="F14" s="12" t="s">
        <v>58</v>
      </c>
      <c r="G14" s="2" t="s">
        <v>17</v>
      </c>
      <c r="H14" s="2" t="s">
        <v>18</v>
      </c>
      <c r="I14" s="10"/>
      <c r="J14" s="12" t="s">
        <v>45</v>
      </c>
    </row>
    <row r="15" spans="1:10" ht="257.25" customHeight="1">
      <c r="A15" s="7">
        <f t="shared" si="0"/>
        <v>10</v>
      </c>
      <c r="B15" s="8" t="s">
        <v>59</v>
      </c>
      <c r="C15" s="2" t="s">
        <v>30</v>
      </c>
      <c r="D15" s="8" t="s">
        <v>60</v>
      </c>
      <c r="E15" s="9" t="s">
        <v>61</v>
      </c>
      <c r="F15" s="12" t="s">
        <v>62</v>
      </c>
      <c r="G15" s="2" t="s">
        <v>17</v>
      </c>
      <c r="H15" s="2" t="s">
        <v>18</v>
      </c>
      <c r="I15" s="10"/>
      <c r="J15" s="11">
        <v>1</v>
      </c>
    </row>
    <row r="16" spans="1:10" ht="229.5" customHeight="1">
      <c r="A16" s="7">
        <f t="shared" si="0"/>
        <v>11</v>
      </c>
      <c r="B16" s="8" t="s">
        <v>63</v>
      </c>
      <c r="C16" s="2" t="s">
        <v>47</v>
      </c>
      <c r="D16" s="8" t="s">
        <v>56</v>
      </c>
      <c r="E16" s="9" t="s">
        <v>64</v>
      </c>
      <c r="F16" s="12" t="s">
        <v>65</v>
      </c>
      <c r="G16" s="2" t="s">
        <v>17</v>
      </c>
      <c r="H16" s="2" t="s">
        <v>66</v>
      </c>
      <c r="I16" s="10"/>
      <c r="J16" s="12" t="s">
        <v>45</v>
      </c>
    </row>
    <row r="17" spans="1:10" ht="199.5" customHeight="1">
      <c r="A17" s="7">
        <f t="shared" si="0"/>
        <v>12</v>
      </c>
      <c r="B17" s="8" t="s">
        <v>67</v>
      </c>
      <c r="C17" s="2" t="s">
        <v>47</v>
      </c>
      <c r="D17" s="8" t="s">
        <v>68</v>
      </c>
      <c r="E17" s="9" t="s">
        <v>69</v>
      </c>
      <c r="F17" s="12" t="s">
        <v>70</v>
      </c>
      <c r="G17" s="2" t="s">
        <v>17</v>
      </c>
      <c r="H17" s="2" t="s">
        <v>66</v>
      </c>
      <c r="I17" s="10"/>
      <c r="J17" s="12" t="s">
        <v>45</v>
      </c>
    </row>
    <row r="18" spans="1:10" ht="225.75" customHeight="1">
      <c r="A18" s="7">
        <f t="shared" si="0"/>
        <v>13</v>
      </c>
      <c r="B18" s="8" t="s">
        <v>71</v>
      </c>
      <c r="C18" s="8" t="s">
        <v>72</v>
      </c>
      <c r="D18" s="8" t="s">
        <v>73</v>
      </c>
      <c r="E18" s="9" t="s">
        <v>74</v>
      </c>
      <c r="F18" s="12" t="s">
        <v>75</v>
      </c>
      <c r="G18" s="2" t="s">
        <v>17</v>
      </c>
      <c r="H18" s="2" t="s">
        <v>66</v>
      </c>
      <c r="I18" s="10"/>
      <c r="J18" s="12" t="s">
        <v>45</v>
      </c>
    </row>
    <row r="19" spans="1:10" ht="268.5" customHeight="1">
      <c r="A19" s="7">
        <f t="shared" si="0"/>
        <v>14</v>
      </c>
      <c r="B19" s="8" t="s">
        <v>76</v>
      </c>
      <c r="C19" s="8" t="s">
        <v>55</v>
      </c>
      <c r="D19" s="8" t="s">
        <v>77</v>
      </c>
      <c r="E19" s="9" t="s">
        <v>78</v>
      </c>
      <c r="F19" s="12" t="s">
        <v>79</v>
      </c>
      <c r="G19" s="2" t="s">
        <v>17</v>
      </c>
      <c r="H19" s="2" t="s">
        <v>66</v>
      </c>
      <c r="I19" s="10"/>
      <c r="J19" s="11">
        <v>1</v>
      </c>
    </row>
    <row r="20" spans="1:10" ht="267" customHeight="1">
      <c r="A20" s="7">
        <f t="shared" si="0"/>
        <v>15</v>
      </c>
      <c r="B20" s="8" t="s">
        <v>80</v>
      </c>
      <c r="C20" s="8" t="s">
        <v>81</v>
      </c>
      <c r="D20" s="8" t="s">
        <v>82</v>
      </c>
      <c r="E20" s="9" t="s">
        <v>83</v>
      </c>
      <c r="F20" s="12" t="s">
        <v>84</v>
      </c>
      <c r="G20" s="2" t="s">
        <v>17</v>
      </c>
      <c r="H20" s="2" t="s">
        <v>66</v>
      </c>
      <c r="I20" s="10"/>
      <c r="J20" s="11">
        <v>1</v>
      </c>
    </row>
    <row r="21" spans="1:10" ht="189.75" customHeight="1">
      <c r="A21" s="7">
        <f t="shared" si="0"/>
        <v>16</v>
      </c>
      <c r="B21" s="8" t="s">
        <v>85</v>
      </c>
      <c r="C21" s="8" t="s">
        <v>40</v>
      </c>
      <c r="D21" s="8" t="s">
        <v>41</v>
      </c>
      <c r="E21" s="9" t="s">
        <v>86</v>
      </c>
      <c r="F21" s="12" t="s">
        <v>87</v>
      </c>
      <c r="G21" s="2" t="s">
        <v>17</v>
      </c>
      <c r="H21" s="2" t="s">
        <v>18</v>
      </c>
      <c r="I21" s="10" t="s">
        <v>88</v>
      </c>
      <c r="J21" s="12" t="s">
        <v>45</v>
      </c>
    </row>
    <row r="22" spans="1:10" ht="201" customHeight="1">
      <c r="A22" s="7">
        <f>ROW()-5</f>
        <v>17</v>
      </c>
      <c r="B22" s="8" t="s">
        <v>89</v>
      </c>
      <c r="C22" s="8" t="s">
        <v>47</v>
      </c>
      <c r="D22" s="14" t="s">
        <v>68</v>
      </c>
      <c r="E22" s="9" t="s">
        <v>90</v>
      </c>
      <c r="F22" s="12" t="s">
        <v>91</v>
      </c>
      <c r="G22" s="2" t="s">
        <v>17</v>
      </c>
      <c r="H22" s="2" t="s">
        <v>18</v>
      </c>
      <c r="I22" s="10"/>
      <c r="J22" s="11">
        <v>1</v>
      </c>
    </row>
    <row r="23" spans="1:10" ht="162.75" customHeight="1">
      <c r="A23" s="7">
        <f t="shared" si="0"/>
        <v>18</v>
      </c>
      <c r="B23" s="8" t="s">
        <v>92</v>
      </c>
      <c r="C23" s="8" t="s">
        <v>47</v>
      </c>
      <c r="D23" s="14" t="s">
        <v>93</v>
      </c>
      <c r="E23" s="9" t="s">
        <v>94</v>
      </c>
      <c r="F23" s="12" t="s">
        <v>95</v>
      </c>
      <c r="G23" s="2" t="s">
        <v>17</v>
      </c>
      <c r="H23" s="2" t="s">
        <v>18</v>
      </c>
      <c r="I23" s="10"/>
      <c r="J23" s="11">
        <v>1</v>
      </c>
    </row>
    <row r="24" spans="1:10" ht="214.5" customHeight="1">
      <c r="A24" s="7">
        <f>ROW()-5</f>
        <v>19</v>
      </c>
      <c r="B24" s="8" t="s">
        <v>96</v>
      </c>
      <c r="C24" s="8" t="s">
        <v>40</v>
      </c>
      <c r="D24" s="14" t="s">
        <v>41</v>
      </c>
      <c r="E24" s="9" t="s">
        <v>97</v>
      </c>
      <c r="F24" s="12" t="s">
        <v>98</v>
      </c>
      <c r="G24" s="2" t="s">
        <v>17</v>
      </c>
      <c r="H24" s="2" t="s">
        <v>66</v>
      </c>
      <c r="I24" s="10" t="s">
        <v>99</v>
      </c>
      <c r="J24" s="12" t="s">
        <v>45</v>
      </c>
    </row>
    <row r="25" spans="1:10" ht="183" customHeight="1">
      <c r="A25" s="7">
        <f t="shared" si="0"/>
        <v>20</v>
      </c>
      <c r="B25" s="8" t="s">
        <v>100</v>
      </c>
      <c r="C25" s="8" t="s">
        <v>40</v>
      </c>
      <c r="D25" s="14" t="s">
        <v>101</v>
      </c>
      <c r="E25" s="9" t="s">
        <v>102</v>
      </c>
      <c r="F25" s="12" t="s">
        <v>103</v>
      </c>
      <c r="G25" s="2" t="s">
        <v>17</v>
      </c>
      <c r="H25" s="2" t="s">
        <v>66</v>
      </c>
      <c r="I25" s="10"/>
      <c r="J25" s="12" t="s">
        <v>45</v>
      </c>
    </row>
    <row r="26" spans="1:10" ht="207" customHeight="1">
      <c r="A26" s="7">
        <f t="shared" si="0"/>
        <v>21</v>
      </c>
      <c r="B26" s="8" t="s">
        <v>104</v>
      </c>
      <c r="C26" s="8" t="s">
        <v>47</v>
      </c>
      <c r="D26" s="14" t="s">
        <v>105</v>
      </c>
      <c r="E26" s="9" t="s">
        <v>106</v>
      </c>
      <c r="F26" s="12" t="s">
        <v>107</v>
      </c>
      <c r="G26" s="2" t="s">
        <v>17</v>
      </c>
      <c r="H26" s="2" t="s">
        <v>66</v>
      </c>
      <c r="I26" s="10"/>
      <c r="J26" s="12" t="s">
        <v>45</v>
      </c>
    </row>
    <row r="27" spans="1:10" ht="231.75" customHeight="1">
      <c r="A27" s="7">
        <f t="shared" si="0"/>
        <v>22</v>
      </c>
      <c r="B27" s="8" t="s">
        <v>108</v>
      </c>
      <c r="C27" s="8" t="s">
        <v>47</v>
      </c>
      <c r="D27" s="14" t="s">
        <v>109</v>
      </c>
      <c r="E27" s="9" t="s">
        <v>110</v>
      </c>
      <c r="F27" s="12" t="s">
        <v>111</v>
      </c>
      <c r="G27" s="2" t="s">
        <v>17</v>
      </c>
      <c r="H27" s="2" t="s">
        <v>66</v>
      </c>
      <c r="I27" s="10"/>
      <c r="J27" s="12" t="s">
        <v>45</v>
      </c>
    </row>
    <row r="28" spans="1:10" ht="234.75" customHeight="1">
      <c r="A28" s="7">
        <f t="shared" si="0"/>
        <v>23</v>
      </c>
      <c r="B28" s="8" t="s">
        <v>112</v>
      </c>
      <c r="C28" s="8" t="s">
        <v>47</v>
      </c>
      <c r="D28" s="14" t="s">
        <v>113</v>
      </c>
      <c r="E28" s="9" t="s">
        <v>114</v>
      </c>
      <c r="F28" s="12" t="s">
        <v>115</v>
      </c>
      <c r="G28" s="2" t="s">
        <v>17</v>
      </c>
      <c r="H28" s="2" t="s">
        <v>66</v>
      </c>
      <c r="I28" s="10"/>
      <c r="J28" s="11">
        <v>1</v>
      </c>
    </row>
    <row r="29" spans="1:10" ht="407.25" customHeight="1">
      <c r="A29" s="7">
        <f>ROW()-5</f>
        <v>24</v>
      </c>
      <c r="B29" s="8" t="s">
        <v>116</v>
      </c>
      <c r="C29" s="8" t="s">
        <v>40</v>
      </c>
      <c r="D29" s="14" t="s">
        <v>117</v>
      </c>
      <c r="E29" s="9" t="s">
        <v>118</v>
      </c>
      <c r="F29" s="12" t="s">
        <v>119</v>
      </c>
      <c r="G29" s="2" t="s">
        <v>17</v>
      </c>
      <c r="H29" s="2" t="s">
        <v>66</v>
      </c>
      <c r="I29" s="10"/>
      <c r="J29" s="11">
        <v>1</v>
      </c>
    </row>
    <row r="30" spans="1:10" ht="409.15" customHeight="1">
      <c r="A30" s="7">
        <f>ROW()-5</f>
        <v>25</v>
      </c>
      <c r="B30" s="8" t="s">
        <v>120</v>
      </c>
      <c r="C30" s="8" t="s">
        <v>47</v>
      </c>
      <c r="D30" s="14" t="s">
        <v>109</v>
      </c>
      <c r="E30" s="9" t="s">
        <v>121</v>
      </c>
      <c r="F30" s="12" t="s">
        <v>122</v>
      </c>
      <c r="G30" s="2" t="s">
        <v>17</v>
      </c>
      <c r="H30" s="2" t="s">
        <v>66</v>
      </c>
      <c r="I30" s="10"/>
      <c r="J30" s="11">
        <v>1</v>
      </c>
    </row>
  </sheetData>
  <autoFilter ref="A5:J30" xr:uid="{EA5375F0-B1FC-4A61-B7B9-C426FC8CD1CF}"/>
  <mergeCells count="5">
    <mergeCell ref="I6:I10"/>
    <mergeCell ref="I11:I20"/>
    <mergeCell ref="I21:I23"/>
    <mergeCell ref="I24:I30"/>
    <mergeCell ref="A1:E1"/>
  </mergeCells>
  <phoneticPr fontId="1" type="noConversion"/>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13D5FEB26D7994E862B19371D9EFCB9" ma:contentTypeVersion="15" ma:contentTypeDescription="Create a new document." ma:contentTypeScope="" ma:versionID="aaad36923f42577d0c0d338b6f24aeec">
  <xsd:schema xmlns:xsd="http://www.w3.org/2001/XMLSchema" xmlns:xs="http://www.w3.org/2001/XMLSchema" xmlns:p="http://schemas.microsoft.com/office/2006/metadata/properties" xmlns:ns2="b4bfba3a-c4a5-4e2c-85c3-996120c9d013" xmlns:ns3="f493d22f-5756-47f5-b1f6-3b7c37e109f7" targetNamespace="http://schemas.microsoft.com/office/2006/metadata/properties" ma:root="true" ma:fieldsID="30ab145c8e8ce612f9141145f1cc587f" ns2:_="" ns3:_="">
    <xsd:import namespace="b4bfba3a-c4a5-4e2c-85c3-996120c9d013"/>
    <xsd:import namespace="f493d22f-5756-47f5-b1f6-3b7c37e109f7"/>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4bfba3a-c4a5-4e2c-85c3-996120c9d01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efc73d0-042f-44f0-a99e-11998221c2b3"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dexed="true" ma:internalName="MediaServiceLocation" ma:readOnly="true">
      <xsd:simpleType>
        <xsd:restriction base="dms:Text"/>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493d22f-5756-47f5-b1f6-3b7c37e109f7"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789dec42-a643-4720-9a07-8ff1f284549b}" ma:internalName="TaxCatchAll" ma:showField="CatchAllData" ma:web="f493d22f-5756-47f5-b1f6-3b7c37e109f7">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4bfba3a-c4a5-4e2c-85c3-996120c9d013">
      <Terms xmlns="http://schemas.microsoft.com/office/infopath/2007/PartnerControls"/>
    </lcf76f155ced4ddcb4097134ff3c332f>
    <TaxCatchAll xmlns="f493d22f-5756-47f5-b1f6-3b7c37e109f7" xsi:nil="true"/>
  </documentManagement>
</p:properties>
</file>

<file path=customXml/itemProps1.xml><?xml version="1.0" encoding="utf-8"?>
<ds:datastoreItem xmlns:ds="http://schemas.openxmlformats.org/officeDocument/2006/customXml" ds:itemID="{FB89211C-DDE3-480F-A013-CC2CB02C80DC}"/>
</file>

<file path=customXml/itemProps2.xml><?xml version="1.0" encoding="utf-8"?>
<ds:datastoreItem xmlns:ds="http://schemas.openxmlformats.org/officeDocument/2006/customXml" ds:itemID="{73182FD5-B4FE-4964-95F7-B94180395EBA}"/>
</file>

<file path=customXml/itemProps3.xml><?xml version="1.0" encoding="utf-8"?>
<ds:datastoreItem xmlns:ds="http://schemas.openxmlformats.org/officeDocument/2006/customXml" ds:itemID="{B0B5334F-3DD8-413E-B760-7ECA709CA9ED}"/>
</file>

<file path=docMetadata/LabelInfo.xml><?xml version="1.0" encoding="utf-8"?>
<clbl:labelList xmlns:clbl="http://schemas.microsoft.com/office/2020/mipLabelMetadata">
  <clbl:label id="{ed9ca920-543e-4305-9a64-d6239716efbb}" enabled="0" method="" siteId="{ed9ca920-543e-4305-9a64-d6239716efb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Sharon LAM</dc:creator>
  <cp:keywords/>
  <dc:description/>
  <cp:lastModifiedBy>Tsz Him WAN</cp:lastModifiedBy>
  <cp:revision/>
  <dcterms:created xsi:type="dcterms:W3CDTF">2024-11-26T09:24:36Z</dcterms:created>
  <dcterms:modified xsi:type="dcterms:W3CDTF">2025-02-14T07:55:06Z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0x010100B13D5FEB26D7994E862B19371D9EFCB9</vt:lpwstr>
  </property>
  <property fmtid="{D5CDD505-2E9C-101B-9397-08002B2CF9AE}" pid="3" name="MediaServiceImageTags">
    <vt:lpwstr/>
  </property>
</Properties>
</file>